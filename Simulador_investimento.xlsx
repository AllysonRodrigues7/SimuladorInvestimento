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ya\Desktop\"/>
    </mc:Choice>
  </mc:AlternateContent>
  <xr:revisionPtr revIDLastSave="0" documentId="13_ncr:1_{C1EEC9FA-2567-4C0B-B7F2-92CEDD6EBA1E}" xr6:coauthVersionLast="47" xr6:coauthVersionMax="47" xr10:uidLastSave="{00000000-0000-0000-0000-000000000000}"/>
  <bookViews>
    <workbookView xWindow="-120" yWindow="-120" windowWidth="29040" windowHeight="15840" xr2:uid="{A3687572-4DB2-4A1E-AB07-EDDF6A95EDAA}"/>
  </bookViews>
  <sheets>
    <sheet name="Planilha1" sheetId="1" r:id="rId1"/>
    <sheet name="Planilha2" sheetId="2" r:id="rId2"/>
  </sheets>
  <definedNames>
    <definedName name="aporte">Planilha1!$D$21</definedName>
    <definedName name="patrimonio">Planilha1!$D$24</definedName>
    <definedName name="qtd_anos">Planilha1!$D$22</definedName>
    <definedName name="rendimento_carteira">Planilha1!$D$17</definedName>
    <definedName name="salario">Planilha1!$D$16</definedName>
    <definedName name="sugestao_investimento">Planilha1!$D$18</definedName>
    <definedName name="taxa_mensal">Planilha1!$D$23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1" l="1"/>
  <c r="D41" i="1" s="1"/>
  <c r="C42" i="1"/>
  <c r="D42" i="1" s="1"/>
  <c r="C43" i="1"/>
  <c r="D43" i="1" s="1"/>
  <c r="C44" i="1"/>
  <c r="D44" i="1" s="1"/>
  <c r="C45" i="1"/>
  <c r="D45" i="1" s="1"/>
  <c r="C40" i="1"/>
  <c r="D40" i="1" s="1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7" i="1"/>
  <c r="D24" i="1"/>
  <c r="D25" i="1" s="1"/>
  <c r="D18" i="1"/>
  <c r="C33" i="1"/>
  <c r="D33" i="1" s="1"/>
  <c r="C30" i="1"/>
  <c r="D30" i="1" s="1"/>
  <c r="C31" i="1"/>
  <c r="D31" i="1" s="1"/>
  <c r="C32" i="1"/>
  <c r="D32" i="1" s="1"/>
  <c r="C29" i="1"/>
  <c r="D29" i="1" s="1"/>
  <c r="D46" i="1" l="1"/>
</calcChain>
</file>

<file path=xl/sharedStrings.xml><?xml version="1.0" encoding="utf-8"?>
<sst xmlns="http://schemas.openxmlformats.org/spreadsheetml/2006/main" count="69" uniqueCount="35">
  <si>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</si>
  <si>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</si>
  <si>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</si>
  <si>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</si>
  <si>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</si>
  <si>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</si>
  <si>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</si>
  <si>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</si>
  <si>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</si>
  <si>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</si>
  <si>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</si>
  <si>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</si>
  <si>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Configurações</t>
  </si>
  <si>
    <t>Salário</t>
  </si>
  <si>
    <t>Rendimento carteira</t>
  </si>
  <si>
    <t>Sugestão de investimento</t>
  </si>
  <si>
    <t>Dividendos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</si>
  <si>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</si>
  <si>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</si>
  <si>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</si>
  <si>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</si>
  <si>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</si>
  <si>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</si>
  <si>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</si>
  <si>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</si>
  <si>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</si>
  <si>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</t>
  </si>
  <si>
    <t>DESENVOLVIMENTO</t>
  </si>
  <si>
    <t>HOTELARIAS</t>
  </si>
  <si>
    <t>TIPO DE FII</t>
  </si>
  <si>
    <t>PERFIL</t>
  </si>
  <si>
    <t>%</t>
  </si>
  <si>
    <t>CHAVE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</si>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</sst>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00%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20"/>
      <color theme="0"/>
      <name val="Segoe UI"/>
      <family val="2"/>
    </font>
    <font>
      <b/>
      <sz val="10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theme="0" tint="-0.24994659260841701"/>
      </left>
      <right style="medium">
        <color indexed="64"/>
      </right>
      <top style="medium">
        <color indexed="64"/>
      </top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theme="0" tint="-0.24994659260841701"/>
      </bottom>
      <diagonal/>
    </border>
    <border>
      <left/>
      <right/>
      <top style="medium">
        <color indexed="64"/>
      </top>
      <bottom style="hair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medium">
        <color indexed="64"/>
      </top>
      <bottom style="hair">
        <color theme="0" tint="-0.2499465926084170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0" fillId="0" borderId="4" xfId="0" applyBorder="1"/>
    <xf numFmtId="165" fontId="1" fillId="0" borderId="10" xfId="0" applyNumberFormat="1" applyFont="1" applyBorder="1" applyAlignment="1">
      <alignment horizontal="center" vertical="center"/>
    </xf>
    <xf numFmtId="10" fontId="1" fillId="0" borderId="10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8" fontId="1" fillId="4" borderId="10" xfId="0" applyNumberFormat="1" applyFont="1" applyFill="1" applyBorder="1" applyAlignment="1">
      <alignment horizontal="center"/>
    </xf>
    <xf numFmtId="8" fontId="1" fillId="4" borderId="13" xfId="0" applyNumberFormat="1" applyFont="1" applyFill="1" applyBorder="1" applyAlignment="1">
      <alignment horizontal="center"/>
    </xf>
    <xf numFmtId="8" fontId="0" fillId="4" borderId="9" xfId="0" applyNumberFormat="1" applyFill="1" applyBorder="1" applyAlignment="1">
      <alignment horizontal="center"/>
    </xf>
    <xf numFmtId="8" fontId="0" fillId="4" borderId="12" xfId="0" applyNumberFormat="1" applyFill="1" applyBorder="1" applyAlignment="1">
      <alignment horizontal="center"/>
    </xf>
    <xf numFmtId="0" fontId="5" fillId="0" borderId="0" xfId="0" applyFont="1"/>
    <xf numFmtId="0" fontId="7" fillId="2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indent="3"/>
    </xf>
    <xf numFmtId="0" fontId="3" fillId="4" borderId="11" xfId="0" applyFont="1" applyFill="1" applyBorder="1" applyAlignment="1">
      <alignment horizontal="left" indent="3"/>
    </xf>
    <xf numFmtId="8" fontId="0" fillId="4" borderId="10" xfId="0" applyNumberFormat="1" applyFill="1" applyBorder="1" applyAlignment="1">
      <alignment horizontal="center"/>
    </xf>
    <xf numFmtId="8" fontId="0" fillId="4" borderId="13" xfId="0" applyNumberFormat="1" applyFill="1" applyBorder="1" applyAlignment="1">
      <alignment horizontal="center"/>
    </xf>
    <xf numFmtId="165" fontId="1" fillId="4" borderId="13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/>
    <xf numFmtId="0" fontId="1" fillId="4" borderId="0" xfId="0" applyFont="1" applyFill="1"/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6" borderId="5" xfId="0" applyFill="1" applyBorder="1"/>
    <xf numFmtId="0" fontId="0" fillId="6" borderId="18" xfId="0" applyFill="1" applyBorder="1"/>
    <xf numFmtId="165" fontId="0" fillId="6" borderId="6" xfId="0" applyNumberForma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3" fillId="4" borderId="8" xfId="0" applyFont="1" applyFill="1" applyBorder="1" applyAlignment="1">
      <alignment horizontal="left" indent="3"/>
    </xf>
    <xf numFmtId="0" fontId="3" fillId="4" borderId="9" xfId="0" applyFont="1" applyFill="1" applyBorder="1" applyAlignment="1">
      <alignment horizontal="left" indent="3"/>
    </xf>
    <xf numFmtId="0" fontId="3" fillId="4" borderId="11" xfId="0" applyFont="1" applyFill="1" applyBorder="1" applyAlignment="1">
      <alignment horizontal="left" indent="3"/>
    </xf>
    <xf numFmtId="0" fontId="3" fillId="4" borderId="12" xfId="0" applyFont="1" applyFill="1" applyBorder="1" applyAlignment="1">
      <alignment horizontal="left" indent="3"/>
    </xf>
    <xf numFmtId="0" fontId="3" fillId="0" borderId="8" xfId="0" applyFont="1" applyBorder="1" applyAlignment="1">
      <alignment horizontal="left" indent="3"/>
    </xf>
    <xf numFmtId="0" fontId="3" fillId="0" borderId="9" xfId="0" applyFont="1" applyBorder="1" applyAlignment="1">
      <alignment horizontal="left" indent="3"/>
    </xf>
    <xf numFmtId="0" fontId="4" fillId="4" borderId="8" xfId="0" applyFont="1" applyFill="1" applyBorder="1" applyAlignment="1">
      <alignment horizontal="left" indent="3"/>
    </xf>
    <xf numFmtId="0" fontId="4" fillId="4" borderId="9" xfId="0" applyFont="1" applyFill="1" applyBorder="1" applyAlignment="1">
      <alignment horizontal="left" indent="3"/>
    </xf>
    <xf numFmtId="0" fontId="4" fillId="4" borderId="11" xfId="0" applyFont="1" applyFill="1" applyBorder="1" applyAlignment="1">
      <alignment horizontal="left" indent="3"/>
    </xf>
    <xf numFmtId="0" fontId="4" fillId="4" borderId="12" xfId="0" applyFont="1" applyFill="1" applyBorder="1" applyAlignment="1">
      <alignment horizontal="left" indent="3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18" xfId="0" applyBorder="1"/>
    <xf numFmtId="9" fontId="0" fillId="0" borderId="18" xfId="0" applyNumberFormat="1" applyBorder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130968</xdr:colOff>
      <xdr:row>0</xdr:row>
      <xdr:rowOff>142875</xdr:rowOff>
    </xdr:from>
    <xdr:to>
      <xdr:col>4</xdr:col>
      <xdr:colOff>285749</xdr:colOff>
      <xdr:row>13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7D2A2B-A752-AB75-9E0B-1B12D7133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8" y="142875"/>
          <a:ext cx="6012656" cy="243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856C-B59D-40A2-9AF4-F3D382CD30F6}">
  <dimension ref="A14:G46"/>
  <sheetViews>
    <sheetView tabSelected="1" topLeftCell="A28" zoomScale="130" zoomScaleNormal="130" workbookViewId="0">
      <selection activeCell="C36" sqref="C36:D36"/>
    </sheetView>
  </sheetViews>
  <sheetFormatPr defaultColWidth="0" defaultRowHeight="15" x14ac:dyDescent="0.25"/>
  <cols>
    <col min="1" max="1" width="3.7109375" customWidth="1"/>
    <col min="2" max="2" width="33.28515625" customWidth="1"/>
    <col min="3" max="3" width="30.28515625" customWidth="1"/>
    <col min="4" max="4" width="20.5703125" customWidth="1"/>
    <col min="5" max="5" width="5.85546875" customWidth="1"/>
    <col min="6" max="6" width="25" hidden="1" customWidth="1"/>
    <col min="7" max="7" width="11.42578125" hidden="1" customWidth="1"/>
    <col min="8" max="13" width="9.140625" hidden="1" customWidth="1"/>
    <col min="14" max="16384" width="9.140625" hidden="1"/>
  </cols>
  <sheetData>
    <row r="14" spans="2:4" ht="15.75" thickBot="1" x14ac:dyDescent="0.3"/>
    <row r="15" spans="2:4" ht="30.75" x14ac:dyDescent="0.25">
      <c r="B15" s="42" t="s">
        <v>12</v>
      </c>
      <c r="C15" s="43"/>
      <c r="D15" s="44"/>
    </row>
    <row r="16" spans="2:4" ht="15.75" x14ac:dyDescent="0.25">
      <c r="B16" s="32" t="s">
        <v>13</v>
      </c>
      <c r="C16" s="33"/>
      <c r="D16" s="3">
        <v>5000</v>
      </c>
    </row>
    <row r="17" spans="1:5" ht="15.75" x14ac:dyDescent="0.25">
      <c r="B17" s="32" t="s">
        <v>14</v>
      </c>
      <c r="C17" s="33"/>
      <c r="D17" s="4">
        <v>8.0000000000000002E-3</v>
      </c>
    </row>
    <row r="18" spans="1:5" ht="16.5" thickBot="1" x14ac:dyDescent="0.3">
      <c r="B18" s="34" t="s">
        <v>15</v>
      </c>
      <c r="C18" s="35"/>
      <c r="D18" s="18">
        <f>D16*30%</f>
        <v>1500</v>
      </c>
    </row>
    <row r="19" spans="1:5" ht="17.25" thickBot="1" x14ac:dyDescent="0.35">
      <c r="E19" s="12"/>
    </row>
    <row r="20" spans="1:5" ht="30.75" customHeight="1" x14ac:dyDescent="0.55000000000000004">
      <c r="B20" s="28" t="s">
        <v>0</v>
      </c>
      <c r="C20" s="45"/>
      <c r="D20" s="46"/>
    </row>
    <row r="21" spans="1:5" ht="15.75" x14ac:dyDescent="0.25">
      <c r="B21" s="36" t="s">
        <v>1</v>
      </c>
      <c r="C21" s="37"/>
      <c r="D21" s="5">
        <v>500</v>
      </c>
    </row>
    <row r="22" spans="1:5" ht="15.75" x14ac:dyDescent="0.25">
      <c r="B22" s="36" t="s">
        <v>2</v>
      </c>
      <c r="C22" s="37"/>
      <c r="D22" s="6">
        <v>5</v>
      </c>
    </row>
    <row r="23" spans="1:5" ht="15.75" x14ac:dyDescent="0.25">
      <c r="B23" s="36" t="s">
        <v>3</v>
      </c>
      <c r="C23" s="37"/>
      <c r="D23" s="7">
        <v>1.0789999999999999E-2</v>
      </c>
    </row>
    <row r="24" spans="1:5" ht="15.75" x14ac:dyDescent="0.25">
      <c r="B24" s="38" t="s">
        <v>4</v>
      </c>
      <c r="C24" s="39"/>
      <c r="D24" s="8">
        <f>FV(taxa_mensal,qtd_anos*12,aporte*-1)</f>
        <v>41888.456999243819</v>
      </c>
    </row>
    <row r="25" spans="1:5" ht="16.5" thickBot="1" x14ac:dyDescent="0.3">
      <c r="B25" s="40" t="s">
        <v>5</v>
      </c>
      <c r="C25" s="41"/>
      <c r="D25" s="9">
        <f>patrimonio*rendimento_carteira</f>
        <v>335.10765599395057</v>
      </c>
    </row>
    <row r="27" spans="1:5" ht="15.75" thickBot="1" x14ac:dyDescent="0.3"/>
    <row r="28" spans="1:5" ht="30.75" x14ac:dyDescent="0.55000000000000004">
      <c r="B28" s="28" t="s">
        <v>11</v>
      </c>
      <c r="C28" s="29"/>
      <c r="D28" s="13" t="s">
        <v>16</v>
      </c>
    </row>
    <row r="29" spans="1:5" ht="15.75" x14ac:dyDescent="0.25">
      <c r="A29" s="1">
        <v>2</v>
      </c>
      <c r="B29" s="14" t="s">
        <v>6</v>
      </c>
      <c r="C29" s="10">
        <f>FV($D$23,$A29*12,$D$21*-1)</f>
        <v>13613.813648822608</v>
      </c>
      <c r="D29" s="16">
        <f>C29*rendimento_carteira</f>
        <v>108.91050919058087</v>
      </c>
    </row>
    <row r="30" spans="1:5" ht="15.75" x14ac:dyDescent="0.25">
      <c r="A30" s="1">
        <v>5</v>
      </c>
      <c r="B30" s="14" t="s">
        <v>7</v>
      </c>
      <c r="C30" s="10">
        <f>FV($D$23,$A30*12,$D$21*-1)</f>
        <v>41888.456999243819</v>
      </c>
      <c r="D30" s="16">
        <f>C30*rendimento_carteira</f>
        <v>335.10765599395057</v>
      </c>
    </row>
    <row r="31" spans="1:5" ht="15.75" x14ac:dyDescent="0.25">
      <c r="A31" s="1">
        <v>10</v>
      </c>
      <c r="B31" s="14" t="s">
        <v>8</v>
      </c>
      <c r="C31" s="10">
        <f>FV($D$23,$A31*12,$D$21*-1)</f>
        <v>121642.1062650861</v>
      </c>
      <c r="D31" s="16">
        <f>C31*rendimento_carteira</f>
        <v>973.13685012068879</v>
      </c>
    </row>
    <row r="32" spans="1:5" ht="15.75" x14ac:dyDescent="0.25">
      <c r="A32" s="1">
        <v>20</v>
      </c>
      <c r="B32" s="14" t="s">
        <v>9</v>
      </c>
      <c r="C32" s="10">
        <f>FV($D$23,$A32*12,$D$21*-1)</f>
        <v>562599.20004854025</v>
      </c>
      <c r="D32" s="16">
        <f>C32*rendimento_carteira</f>
        <v>4500.7936003883224</v>
      </c>
    </row>
    <row r="33" spans="1:4" ht="16.5" thickBot="1" x14ac:dyDescent="0.3">
      <c r="A33" s="1">
        <v>30</v>
      </c>
      <c r="B33" s="15" t="s">
        <v>10</v>
      </c>
      <c r="C33" s="11">
        <f>FV($D$23,$A33*12,$D$21*-1)</f>
        <v>2161084.8275023573</v>
      </c>
      <c r="D33" s="17">
        <f>C33*rendimento_carteira</f>
        <v>17288.678620018858</v>
      </c>
    </row>
    <row r="36" spans="1:4" ht="15.75" x14ac:dyDescent="0.25">
      <c r="B36" s="19" t="s">
        <v>17</v>
      </c>
      <c r="C36" s="30" t="s">
        <v>18</v>
      </c>
      <c r="D36" s="30"/>
    </row>
    <row r="37" spans="1:4" x14ac:dyDescent="0.25">
      <c r="B37" s="20" t="s">
        <v>19</v>
      </c>
      <c r="C37" s="31">
        <f>aporte</f>
        <v>500</v>
      </c>
      <c r="D37" s="31"/>
    </row>
    <row r="38" spans="1:4" ht="15.75" thickBot="1" x14ac:dyDescent="0.3"/>
    <row r="39" spans="1:4" x14ac:dyDescent="0.25">
      <c r="B39" s="21" t="s">
        <v>20</v>
      </c>
      <c r="C39" s="22" t="s">
        <v>21</v>
      </c>
      <c r="D39" s="23" t="s">
        <v>22</v>
      </c>
    </row>
    <row r="40" spans="1:4" x14ac:dyDescent="0.25">
      <c r="B40" s="2" t="s">
        <v>23</v>
      </c>
      <c r="C40" s="24">
        <f>VLOOKUP($C$36&amp;"-"&amp;B40,Planilha2!$A:$D,4,)</f>
        <v>0.3</v>
      </c>
      <c r="D40" s="16">
        <f t="shared" ref="D40:D45" si="0">aporte*C40</f>
        <v>150</v>
      </c>
    </row>
    <row r="41" spans="1:4" x14ac:dyDescent="0.25">
      <c r="B41" s="2" t="s">
        <v>24</v>
      </c>
      <c r="C41" s="24">
        <f>VLOOKUP($C$36&amp;"-"&amp;B41,Planilha2!$A:$D,4,)</f>
        <v>0.5</v>
      </c>
      <c r="D41" s="16">
        <f t="shared" si="0"/>
        <v>250</v>
      </c>
    </row>
    <row r="42" spans="1:4" x14ac:dyDescent="0.25">
      <c r="B42" s="2" t="s">
        <v>25</v>
      </c>
      <c r="C42" s="24">
        <f>VLOOKUP($C$36&amp;"-"&amp;B42,Planilha2!$A:$D,4,)</f>
        <v>0.1</v>
      </c>
      <c r="D42" s="16">
        <f t="shared" si="0"/>
        <v>50</v>
      </c>
    </row>
    <row r="43" spans="1:4" x14ac:dyDescent="0.25">
      <c r="B43" s="2" t="s">
        <v>26</v>
      </c>
      <c r="C43" s="24">
        <f>VLOOKUP($C$36&amp;"-"&amp;B43,Planilha2!$A:$D,4,)</f>
        <v>0.1</v>
      </c>
      <c r="D43" s="16">
        <f t="shared" si="0"/>
        <v>50</v>
      </c>
    </row>
    <row r="44" spans="1:4" x14ac:dyDescent="0.25">
      <c r="B44" s="2" t="s">
        <v>27</v>
      </c>
      <c r="C44" s="24">
        <f>VLOOKUP($C$36&amp;"-"&amp;B44,Planilha2!$A:$D,4,)</f>
        <v>0</v>
      </c>
      <c r="D44" s="16">
        <f t="shared" si="0"/>
        <v>0</v>
      </c>
    </row>
    <row r="45" spans="1:4" x14ac:dyDescent="0.25">
      <c r="B45" s="2" t="s">
        <v>28</v>
      </c>
      <c r="C45" s="24">
        <f>VLOOKUP($C$36&amp;"-"&amp;B45,Planilha2!$A:$D,4,)</f>
        <v>0</v>
      </c>
      <c r="D45" s="16">
        <f t="shared" si="0"/>
        <v>0</v>
      </c>
    </row>
    <row r="46" spans="1:4" ht="15.75" thickBot="1" x14ac:dyDescent="0.3">
      <c r="B46" s="25"/>
      <c r="C46" s="26"/>
      <c r="D46" s="27">
        <f>SUM(D40:D45)</f>
        <v>500</v>
      </c>
    </row>
  </sheetData>
  <mergeCells count="13">
    <mergeCell ref="B15:D15"/>
    <mergeCell ref="B20:D20"/>
    <mergeCell ref="B28:C28"/>
    <mergeCell ref="C36:D36"/>
    <mergeCell ref="C37:D37"/>
    <mergeCell ref="B16:C16"/>
    <mergeCell ref="B17:C17"/>
    <mergeCell ref="B18:C18"/>
    <mergeCell ref="B21:C21"/>
    <mergeCell ref="B22:C22"/>
    <mergeCell ref="B23:C23"/>
    <mergeCell ref="B24:C24"/>
    <mergeCell ref="B25:C25"/>
  </mergeCells>
  <dataValidations count="1">
    <dataValidation type="list" allowBlank="1" showInputMessage="1" showErrorMessage="1" sqref="C36" xr:uid="{A339C63F-64E8-4C65-A807-18036CF2ADB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48E7-85AA-48CB-A20A-2096F6FF4B1B}">
  <dimension ref="A2:D20"/>
  <sheetViews>
    <sheetView workbookViewId="0">
      <selection activeCell="D13" sqref="D13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7.28515625" customWidth="1"/>
  </cols>
  <sheetData>
    <row r="2" spans="1:4" x14ac:dyDescent="0.25">
      <c r="A2" t="s">
        <v>32</v>
      </c>
      <c r="B2" t="s">
        <v>30</v>
      </c>
      <c r="C2" t="s">
        <v>29</v>
      </c>
      <c r="D2" s="48" t="s">
        <v>31</v>
      </c>
    </row>
    <row r="3" spans="1:4" x14ac:dyDescent="0.25">
      <c r="A3" t="str">
        <f>B3&amp;"-"&amp;C3</f>
        <v>Conservador-PAPEL</v>
      </c>
      <c r="B3" t="s">
        <v>18</v>
      </c>
      <c r="C3" s="47" t="s">
        <v>23</v>
      </c>
      <c r="D3" s="24">
        <v>0.3</v>
      </c>
    </row>
    <row r="4" spans="1:4" x14ac:dyDescent="0.25">
      <c r="A4" t="str">
        <f t="shared" ref="A4:A20" si="0">B4&amp;"-"&amp;C4</f>
        <v>Conservador-TIJOLO</v>
      </c>
      <c r="B4" t="s">
        <v>18</v>
      </c>
      <c r="C4" s="47" t="s">
        <v>24</v>
      </c>
      <c r="D4" s="24">
        <v>0.5</v>
      </c>
    </row>
    <row r="5" spans="1:4" x14ac:dyDescent="0.25">
      <c r="A5" t="str">
        <f t="shared" si="0"/>
        <v>Conservador-HÍBRIDO</v>
      </c>
      <c r="B5" t="s">
        <v>18</v>
      </c>
      <c r="C5" s="47" t="s">
        <v>25</v>
      </c>
      <c r="D5" s="24">
        <v>0.1</v>
      </c>
    </row>
    <row r="6" spans="1:4" x14ac:dyDescent="0.25">
      <c r="A6" t="str">
        <f t="shared" si="0"/>
        <v>Conservador-FOF</v>
      </c>
      <c r="B6" t="s">
        <v>18</v>
      </c>
      <c r="C6" s="47" t="s">
        <v>26</v>
      </c>
      <c r="D6" s="24">
        <v>0.1</v>
      </c>
    </row>
    <row r="7" spans="1:4" x14ac:dyDescent="0.25">
      <c r="A7" t="str">
        <f t="shared" si="0"/>
        <v>Conservador-DESENVOLVIMENTO</v>
      </c>
      <c r="B7" t="s">
        <v>18</v>
      </c>
      <c r="C7" s="47" t="s">
        <v>27</v>
      </c>
      <c r="D7" s="24">
        <v>0</v>
      </c>
    </row>
    <row r="8" spans="1:4" ht="15.75" thickBot="1" x14ac:dyDescent="0.3">
      <c r="A8" s="49" t="str">
        <f t="shared" si="0"/>
        <v>Conservador-HOTELARIAS</v>
      </c>
      <c r="B8" s="49" t="s">
        <v>18</v>
      </c>
      <c r="C8" s="49" t="s">
        <v>28</v>
      </c>
      <c r="D8" s="50">
        <v>0</v>
      </c>
    </row>
    <row r="9" spans="1:4" x14ac:dyDescent="0.25">
      <c r="A9" t="str">
        <f t="shared" si="0"/>
        <v>Moderado-PAPEL</v>
      </c>
      <c r="B9" t="s">
        <v>33</v>
      </c>
      <c r="C9" s="47" t="s">
        <v>23</v>
      </c>
      <c r="D9" s="51">
        <v>0.32</v>
      </c>
    </row>
    <row r="10" spans="1:4" x14ac:dyDescent="0.25">
      <c r="A10" t="str">
        <f t="shared" si="0"/>
        <v>Moderado-TIJOLO</v>
      </c>
      <c r="B10" t="s">
        <v>33</v>
      </c>
      <c r="C10" s="47" t="s">
        <v>24</v>
      </c>
      <c r="D10" s="51">
        <v>0.35</v>
      </c>
    </row>
    <row r="11" spans="1:4" x14ac:dyDescent="0.25">
      <c r="A11" t="str">
        <f t="shared" si="0"/>
        <v>Moderado-HÍBRIDO</v>
      </c>
      <c r="B11" t="s">
        <v>33</v>
      </c>
      <c r="C11" s="47" t="s">
        <v>25</v>
      </c>
      <c r="D11" s="51">
        <v>0.08</v>
      </c>
    </row>
    <row r="12" spans="1:4" x14ac:dyDescent="0.25">
      <c r="A12" t="str">
        <f t="shared" si="0"/>
        <v>Moderado-FOF</v>
      </c>
      <c r="B12" t="s">
        <v>33</v>
      </c>
      <c r="C12" s="47" t="s">
        <v>26</v>
      </c>
      <c r="D12" s="51">
        <v>0.05</v>
      </c>
    </row>
    <row r="13" spans="1:4" x14ac:dyDescent="0.25">
      <c r="A13" t="str">
        <f t="shared" si="0"/>
        <v>Moderado-DESENVOLVIMENTO</v>
      </c>
      <c r="B13" t="s">
        <v>33</v>
      </c>
      <c r="C13" s="47" t="s">
        <v>27</v>
      </c>
      <c r="D13" s="51">
        <v>0.1</v>
      </c>
    </row>
    <row r="14" spans="1:4" ht="15.75" thickBot="1" x14ac:dyDescent="0.3">
      <c r="A14" s="49" t="str">
        <f t="shared" si="0"/>
        <v>Moderado-HOTELARIAS</v>
      </c>
      <c r="B14" s="49" t="s">
        <v>33</v>
      </c>
      <c r="C14" s="49" t="s">
        <v>28</v>
      </c>
      <c r="D14" s="50">
        <v>0.1</v>
      </c>
    </row>
    <row r="15" spans="1:4" x14ac:dyDescent="0.25">
      <c r="A15" t="str">
        <f t="shared" si="0"/>
        <v>Agressivo-PAPEL</v>
      </c>
      <c r="B15" t="s">
        <v>34</v>
      </c>
      <c r="C15" s="47" t="s">
        <v>23</v>
      </c>
      <c r="D15" s="51">
        <v>0.5</v>
      </c>
    </row>
    <row r="16" spans="1:4" x14ac:dyDescent="0.25">
      <c r="A16" t="str">
        <f t="shared" si="0"/>
        <v>Agressivo-TIJOLO</v>
      </c>
      <c r="B16" t="s">
        <v>34</v>
      </c>
      <c r="C16" s="47" t="s">
        <v>24</v>
      </c>
      <c r="D16" s="51">
        <v>0.1</v>
      </c>
    </row>
    <row r="17" spans="1:4" x14ac:dyDescent="0.25">
      <c r="A17" t="str">
        <f t="shared" si="0"/>
        <v>Agressivo-HÍBRIDO</v>
      </c>
      <c r="B17" t="s">
        <v>34</v>
      </c>
      <c r="C17" s="47" t="s">
        <v>25</v>
      </c>
      <c r="D17" s="51">
        <v>0.05</v>
      </c>
    </row>
    <row r="18" spans="1:4" x14ac:dyDescent="0.25">
      <c r="A18" t="str">
        <f t="shared" si="0"/>
        <v>Agressivo-FOF</v>
      </c>
      <c r="B18" t="s">
        <v>34</v>
      </c>
      <c r="C18" s="47" t="s">
        <v>26</v>
      </c>
      <c r="D18" s="51">
        <v>0.05</v>
      </c>
    </row>
    <row r="19" spans="1:4" x14ac:dyDescent="0.25">
      <c r="A19" t="str">
        <f t="shared" si="0"/>
        <v>Agressivo-DESENVOLVIMENTO</v>
      </c>
      <c r="B19" t="s">
        <v>34</v>
      </c>
      <c r="C19" s="47" t="s">
        <v>27</v>
      </c>
      <c r="D19" s="51">
        <v>0.2</v>
      </c>
    </row>
    <row r="20" spans="1:4" x14ac:dyDescent="0.25">
      <c r="A20" t="str">
        <f t="shared" si="0"/>
        <v>Agressivo-HOTELARIAS</v>
      </c>
      <c r="B20" t="s">
        <v>34</v>
      </c>
      <c r="C20" s="47" t="s">
        <v>28</v>
      </c>
      <c r="D20" s="5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Allyson André</dc:creator>
  <cp:lastModifiedBy>Allyson André</cp:lastModifiedBy>
  <dcterms:created xsi:type="dcterms:W3CDTF">2026-09-16T23:48:23Z</dcterms:created>
  <dcterms:modified xsi:type="dcterms:W3CDTF">2026-09-22T23:52:55Z</dcterms:modified>
</cp:coreProperties>
</file>